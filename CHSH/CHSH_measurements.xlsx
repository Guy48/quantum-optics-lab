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(100s)" sheetId="1" r:id="rId4"/>
    <sheet state="visible" name="without_En (10s)" sheetId="2" r:id="rId5"/>
  </sheets>
  <definedNames/>
  <calcPr/>
</workbook>
</file>

<file path=xl/sharedStrings.xml><?xml version="1.0" encoding="utf-8"?>
<sst xmlns="http://schemas.openxmlformats.org/spreadsheetml/2006/main" count="19" uniqueCount="10">
  <si>
    <t>AB</t>
  </si>
  <si>
    <t>CAB</t>
  </si>
  <si>
    <t>CABP</t>
  </si>
  <si>
    <t>CAPB</t>
  </si>
  <si>
    <t>CAPBP</t>
  </si>
  <si>
    <t>0,22.5</t>
  </si>
  <si>
    <t>45,22.5</t>
  </si>
  <si>
    <t>45,67.5</t>
  </si>
  <si>
    <t>0,67.5</t>
  </si>
  <si>
    <t>S=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</si>
</sst>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7" fillId="0" fontId="1" numFmtId="0" xfId="0" applyAlignment="1" applyBorder="1" applyFont="1">
      <alignment horizontal="left" readingOrder="0" shrinkToFit="0" vertical="center" wrapText="0"/>
    </xf>
    <xf borderId="8" fillId="0" fontId="1" numFmtId="11" xfId="0" applyAlignment="1" applyBorder="1" applyFont="1" applyNumberFormat="1">
      <alignment readingOrder="0" shrinkToFit="0" vertical="center" wrapText="0"/>
    </xf>
    <xf borderId="9" fillId="0" fontId="1" numFmtId="11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5" fillId="0" fontId="1" numFmtId="11" xfId="0" applyAlignment="1" applyBorder="1" applyFont="1" applyNumberFormat="1">
      <alignment readingOrder="0" shrinkToFit="0" vertical="center" wrapText="0"/>
    </xf>
    <xf borderId="6" fillId="0" fontId="1" numFmtId="11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10" fillId="0" fontId="1" numFmtId="11" xfId="0" applyAlignment="1" applyBorder="1" applyFont="1" applyNumberFormat="1">
      <alignment readingOrder="0" shrinkToFit="0" vertical="center" wrapText="0"/>
    </xf>
    <xf borderId="11" fillId="0" fontId="1" numFmtId="11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n (100s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Table1" name="Table1" id="1">
  <tableColumns count="5">
    <tableColumn name="AB" id="1"/>
    <tableColumn name="CAB" id="2"/>
    <tableColumn name="CABP" id="3"/>
    <tableColumn name="CAPB" id="4"/>
    <tableColumn name="CAPBP" id="5"/>
  </tableColumns>
  <tableStyleInfo name="En (100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4" width="13.0"/>
    <col customWidth="1" min="5" max="5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58090.0</v>
      </c>
      <c r="C2" s="5">
        <v>10895.0</v>
      </c>
      <c r="D2" s="5">
        <v>7756.0</v>
      </c>
      <c r="E2" s="6">
        <v>41218.0</v>
      </c>
      <c r="F2" s="7">
        <f>(B2-C2-D2+E2)/(B2+C2+D2+E2)</f>
        <v>0.6837714799</v>
      </c>
    </row>
    <row r="3">
      <c r="A3" s="8"/>
      <c r="B3" s="9">
        <v>1817400.0</v>
      </c>
      <c r="C3" s="9">
        <v>1829920.0</v>
      </c>
      <c r="D3" s="9">
        <v>1906060.0</v>
      </c>
      <c r="E3" s="10">
        <v>1898220.0</v>
      </c>
      <c r="J3" s="11"/>
    </row>
    <row r="4">
      <c r="A4" s="4"/>
      <c r="B4" s="12">
        <v>2198610.0</v>
      </c>
      <c r="C4" s="12">
        <v>1567220.0</v>
      </c>
      <c r="D4" s="12">
        <v>2210040.0</v>
      </c>
      <c r="E4" s="13">
        <v>1572680.0</v>
      </c>
    </row>
    <row r="5">
      <c r="A5" s="14" t="s">
        <v>6</v>
      </c>
      <c r="B5" s="15">
        <v>50817.0</v>
      </c>
      <c r="C5" s="15">
        <v>11611.0</v>
      </c>
      <c r="D5" s="15">
        <v>13004.0</v>
      </c>
      <c r="E5" s="16">
        <v>38923.0</v>
      </c>
      <c r="F5" s="7">
        <f>(B5-C5-D5+E5)/(B5+C5+D5+E5)</f>
        <v>0.5694984915</v>
      </c>
    </row>
    <row r="6">
      <c r="B6" s="12">
        <v>1927720.0</v>
      </c>
      <c r="C6" s="12">
        <v>1957470.0</v>
      </c>
      <c r="D6" s="12">
        <v>1872320.0</v>
      </c>
      <c r="E6" s="13">
        <v>1880570.0</v>
      </c>
    </row>
    <row r="7">
      <c r="B7" s="9">
        <v>2223680.0</v>
      </c>
      <c r="C7" s="9">
        <v>1597240.0</v>
      </c>
      <c r="D7" s="9">
        <v>2228260.0</v>
      </c>
      <c r="E7" s="10">
        <v>1559330.0</v>
      </c>
    </row>
    <row r="8">
      <c r="A8" s="17" t="s">
        <v>7</v>
      </c>
      <c r="B8" s="5">
        <v>46360.0</v>
      </c>
      <c r="C8" s="5">
        <v>17764.0</v>
      </c>
      <c r="D8" s="5">
        <v>9359.0</v>
      </c>
      <c r="E8" s="6">
        <v>43630.0</v>
      </c>
      <c r="F8" s="7">
        <f>(B8-C8-D8+E8)/(B8+C8+D8+E8)</f>
        <v>0.5368063323</v>
      </c>
    </row>
    <row r="9">
      <c r="B9" s="9">
        <v>1960760.0</v>
      </c>
      <c r="C9" s="9">
        <v>1968160.0</v>
      </c>
      <c r="D9" s="9">
        <v>1911110.0</v>
      </c>
      <c r="E9" s="10">
        <v>1910100.0</v>
      </c>
    </row>
    <row r="10">
      <c r="B10" s="12">
        <v>1592490.0</v>
      </c>
      <c r="C10" s="12">
        <v>2266070.0</v>
      </c>
      <c r="D10" s="12">
        <v>1626990.0</v>
      </c>
      <c r="E10" s="13">
        <v>2271380.0</v>
      </c>
    </row>
    <row r="11">
      <c r="A11" s="14" t="s">
        <v>8</v>
      </c>
      <c r="B11" s="15">
        <v>13198.0</v>
      </c>
      <c r="C11" s="15">
        <v>62099.0</v>
      </c>
      <c r="D11" s="15">
        <v>41370.0</v>
      </c>
      <c r="E11" s="16">
        <v>9439.0</v>
      </c>
      <c r="F11" s="7">
        <f>(B11-C11-D11+E11)/(B11+C11+D11+E11)</f>
        <v>-0.6409845685</v>
      </c>
    </row>
    <row r="12">
      <c r="B12" s="12">
        <v>1910920.0</v>
      </c>
      <c r="C12" s="12">
        <v>1909580.0</v>
      </c>
      <c r="D12" s="12">
        <v>1978100.0</v>
      </c>
      <c r="E12" s="13">
        <v>1974690.0</v>
      </c>
    </row>
    <row r="13">
      <c r="B13" s="18">
        <v>1628160.0</v>
      </c>
      <c r="C13" s="18">
        <v>2306120.0</v>
      </c>
      <c r="D13" s="18">
        <v>1628130.0</v>
      </c>
      <c r="E13" s="19">
        <v>2306520.0</v>
      </c>
    </row>
    <row r="15">
      <c r="E15" s="20" t="s">
        <v>9</v>
      </c>
      <c r="F15" s="7">
        <f>F2+F5+F8-F11</f>
        <v>2.431060872</v>
      </c>
    </row>
  </sheetData>
  <dataValidations>
    <dataValidation type="custom" allowBlank="1" showDropDown="1" sqref="B2:E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>
      <c r="A2" s="11" t="s">
        <v>5</v>
      </c>
      <c r="B2" s="20">
        <v>39.0</v>
      </c>
      <c r="C2" s="20">
        <v>77.0</v>
      </c>
      <c r="D2" s="20">
        <v>2011.0</v>
      </c>
      <c r="E2" s="20">
        <v>10660.0</v>
      </c>
      <c r="F2" s="7">
        <f>(B2-C2-D2+E2)/(B2+C2+D2+E2)</f>
        <v>0.6734183155</v>
      </c>
    </row>
    <row r="3">
      <c r="A3" s="11"/>
      <c r="B3" s="21">
        <v>4302.0</v>
      </c>
      <c r="C3" s="21">
        <v>4180.0</v>
      </c>
      <c r="D3" s="21">
        <v>420294.0</v>
      </c>
      <c r="E3" s="21">
        <v>419520.0</v>
      </c>
    </row>
    <row r="4">
      <c r="A4" s="11"/>
      <c r="B4" s="21">
        <v>62981.0</v>
      </c>
      <c r="C4" s="21">
        <v>281193.0</v>
      </c>
      <c r="D4" s="21">
        <v>62665.0</v>
      </c>
      <c r="E4" s="21">
        <v>280515.0</v>
      </c>
    </row>
    <row r="5">
      <c r="A5" s="20" t="s">
        <v>6</v>
      </c>
      <c r="B5" s="20">
        <v>1020.0</v>
      </c>
      <c r="C5" s="20">
        <v>6060.0</v>
      </c>
      <c r="D5" s="20">
        <v>852.0</v>
      </c>
      <c r="E5" s="20">
        <v>5412.0</v>
      </c>
      <c r="F5" s="7">
        <f>(B5-C5-D5+E5)/(B5+C5+D5+E5)</f>
        <v>-0.03597122302</v>
      </c>
    </row>
    <row r="6">
      <c r="B6" s="21">
        <v>212917.0</v>
      </c>
      <c r="C6" s="21">
        <v>215515.0</v>
      </c>
      <c r="D6" s="21">
        <v>212253.0</v>
      </c>
      <c r="E6" s="21">
        <v>212632.0</v>
      </c>
    </row>
    <row r="7">
      <c r="B7" s="21">
        <v>54642.0</v>
      </c>
      <c r="C7" s="21">
        <v>279680.0</v>
      </c>
      <c r="D7" s="21">
        <v>55621.0</v>
      </c>
      <c r="E7" s="21">
        <v>280334.0</v>
      </c>
      <c r="H7" s="7">
        <f>F2+F5+F8-F11</f>
        <v>1.373894099</v>
      </c>
    </row>
    <row r="8">
      <c r="A8" s="20" t="s">
        <v>7</v>
      </c>
      <c r="B8" s="20">
        <v>6457.0</v>
      </c>
      <c r="C8" s="20">
        <v>1128.0</v>
      </c>
      <c r="D8" s="20">
        <v>5719.0</v>
      </c>
      <c r="E8" s="20">
        <v>1053.0</v>
      </c>
      <c r="F8" s="7">
        <f>(B8-C8-D8+E8)/(B8+C8+D8+E8)</f>
        <v>0.04617956398</v>
      </c>
    </row>
    <row r="9">
      <c r="B9" s="21">
        <v>212706.0</v>
      </c>
      <c r="C9" s="21">
        <v>213631.0</v>
      </c>
      <c r="D9" s="21">
        <v>213516.0</v>
      </c>
      <c r="E9" s="21">
        <v>213421.0</v>
      </c>
    </row>
    <row r="10">
      <c r="B10" s="21">
        <v>303590.0</v>
      </c>
      <c r="C10" s="21">
        <v>61417.0</v>
      </c>
      <c r="D10" s="21">
        <v>304605.0</v>
      </c>
      <c r="E10" s="21">
        <v>61843.0</v>
      </c>
    </row>
    <row r="11">
      <c r="A11" s="20" t="s">
        <v>8</v>
      </c>
      <c r="B11" s="20">
        <v>61.0</v>
      </c>
      <c r="C11" s="20">
        <v>37.0</v>
      </c>
      <c r="D11" s="20">
        <v>11434.0</v>
      </c>
      <c r="E11" s="20">
        <v>2041.0</v>
      </c>
      <c r="F11" s="7">
        <f>(B11-C11-D11+E11)/(B11+C11+D11+E11)</f>
        <v>-0.6902674427</v>
      </c>
    </row>
    <row r="12">
      <c r="B12" s="21">
        <v>4128.0</v>
      </c>
      <c r="C12" s="21">
        <v>4052.0</v>
      </c>
      <c r="D12" s="21">
        <v>418735.0</v>
      </c>
      <c r="E12" s="21">
        <v>419788.0</v>
      </c>
    </row>
    <row r="13">
      <c r="B13" s="21">
        <v>273328.0</v>
      </c>
      <c r="C13" s="21">
        <v>61886.0</v>
      </c>
      <c r="D13" s="21">
        <v>304942.0</v>
      </c>
      <c r="E13" s="21">
        <v>61613.0</v>
      </c>
    </row>
  </sheetData>
  <drawing r:id="rId1"/>
</worksheet>
</file>